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  <sheet name="Dashboard" sheetId="2" r:id="rId2"/>
    <sheet name="Notes" sheetId="3" r:id="rId3"/>
  </sheets>
  <calcPr calcId="124519" fullCalcOnLoad="1"/>
</workbook>
</file>

<file path=xl/sharedStrings.xml><?xml version="1.0" encoding="utf-8"?>
<sst xmlns="http://schemas.openxmlformats.org/spreadsheetml/2006/main" count="49" uniqueCount="27">
  <si>
    <t>Price (₹)</t>
  </si>
  <si>
    <t>Standard (40%) – Profit (₹)</t>
  </si>
  <si>
    <t>Damon (50% after ₹14k to Aman) – Profit (₹)</t>
  </si>
  <si>
    <t>Invisalign Go (₹65k cost) – Profit (₹)</t>
  </si>
  <si>
    <t>Invisalign Go Plus (₹95k cost) – Profit (₹)</t>
  </si>
  <si>
    <t>Invisalign Lite (₹86k cost) – Profit (₹)</t>
  </si>
  <si>
    <t>Invisalign Moderate (₹115k cost) – Profit (₹)</t>
  </si>
  <si>
    <t>Invisalign Comprehensive (₹138k cost) – Profit (₹)</t>
  </si>
  <si>
    <t>Best Option @ Price</t>
  </si>
  <si>
    <t>Max Profit (₹)</t>
  </si>
  <si>
    <t>Standard (40%)</t>
  </si>
  <si>
    <t>Damon (after ₹14k)</t>
  </si>
  <si>
    <t>Invisalign Go</t>
  </si>
  <si>
    <t>Invisalign Go Plus</t>
  </si>
  <si>
    <t>Orthodontic Profit Calculator (Go/Lite excluded above ₹1.5L)</t>
  </si>
  <si>
    <t>Select Price (₹):</t>
  </si>
  <si>
    <t>Treatment</t>
  </si>
  <si>
    <t>Profit (₹)</t>
  </si>
  <si>
    <t>Invisalign Lite</t>
  </si>
  <si>
    <t>Invisalign Moderate</t>
  </si>
  <si>
    <t>Invisalign Comprehensive</t>
  </si>
  <si>
    <t>Max Profit (₹):</t>
  </si>
  <si>
    <t>Best Option:</t>
  </si>
  <si>
    <t>Business Rule Applied:</t>
  </si>
  <si>
    <t>For prices &gt; ₹150,000, Invisalign Go and Lite are treated as not feasible.</t>
  </si>
  <si>
    <t>Best Option selection is then restricted to: Invisalign Moderate vs Invisalign Go Plus.</t>
  </si>
  <si>
    <t>At prices ≤ ₹150,000, the best option is chosen across all treatments.</t>
  </si>
</sst>
</file>

<file path=xl/styles.xml><?xml version="1.0" encoding="utf-8"?>
<styleSheet xmlns="http://schemas.openxmlformats.org/spreadsheetml/2006/main">
  <numFmts count="1">
    <numFmt numFmtId="164" formatCode="₹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</dxf>
    <dxf>
      <font>
        <b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style="1" customWidth="1"/>
    <col min="2" max="8" width="24.7109375" style="1" customWidth="1"/>
    <col min="9" max="9" width="24.7109375" customWidth="1"/>
    <col min="10" max="10" width="16.7109375" style="1" customWidth="1"/>
  </cols>
  <sheetData>
    <row r="1" spans="1:10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>
        <v>40000</v>
      </c>
      <c r="B2" s="1">
        <v>16000</v>
      </c>
      <c r="C2" s="1">
        <v>13000</v>
      </c>
      <c r="D2" s="1">
        <v>-25000</v>
      </c>
      <c r="E2" s="1">
        <v>-55000</v>
      </c>
      <c r="F2" s="1">
        <v>-46000</v>
      </c>
      <c r="G2" s="1">
        <v>-75000</v>
      </c>
      <c r="H2" s="1">
        <v>-98000</v>
      </c>
      <c r="I2" t="s">
        <v>10</v>
      </c>
      <c r="J2" s="1">
        <v>16000</v>
      </c>
    </row>
    <row r="3" spans="1:10">
      <c r="A3" s="1">
        <v>50000</v>
      </c>
      <c r="B3" s="1">
        <v>20000</v>
      </c>
      <c r="C3" s="1">
        <v>18000</v>
      </c>
      <c r="D3" s="1">
        <v>-15000</v>
      </c>
      <c r="E3" s="1">
        <v>-45000</v>
      </c>
      <c r="F3" s="1">
        <v>-36000</v>
      </c>
      <c r="G3" s="1">
        <v>-65000</v>
      </c>
      <c r="H3" s="1">
        <v>-88000</v>
      </c>
      <c r="I3" t="s">
        <v>10</v>
      </c>
      <c r="J3" s="1">
        <v>20000</v>
      </c>
    </row>
    <row r="4" spans="1:10">
      <c r="A4" s="1">
        <v>60000</v>
      </c>
      <c r="B4" s="1">
        <v>24000</v>
      </c>
      <c r="C4" s="1">
        <v>23000</v>
      </c>
      <c r="D4" s="1">
        <v>-5000</v>
      </c>
      <c r="E4" s="1">
        <v>-35000</v>
      </c>
      <c r="F4" s="1">
        <v>-26000</v>
      </c>
      <c r="G4" s="1">
        <v>-55000</v>
      </c>
      <c r="H4" s="1">
        <v>-78000</v>
      </c>
      <c r="I4" t="s">
        <v>10</v>
      </c>
      <c r="J4" s="1">
        <v>24000</v>
      </c>
    </row>
    <row r="5" spans="1:10">
      <c r="A5" s="1">
        <v>70000</v>
      </c>
      <c r="B5" s="1">
        <v>28000</v>
      </c>
      <c r="C5" s="1">
        <v>28000</v>
      </c>
      <c r="D5" s="1">
        <v>5000</v>
      </c>
      <c r="E5" s="1">
        <v>-25000</v>
      </c>
      <c r="F5" s="1">
        <v>-16000</v>
      </c>
      <c r="G5" s="1">
        <v>-45000</v>
      </c>
      <c r="H5" s="1">
        <v>-68000</v>
      </c>
      <c r="I5" t="s">
        <v>10</v>
      </c>
      <c r="J5" s="1">
        <v>28000</v>
      </c>
    </row>
    <row r="6" spans="1:10">
      <c r="A6" s="1">
        <v>80000</v>
      </c>
      <c r="B6" s="1">
        <v>32000</v>
      </c>
      <c r="C6" s="1">
        <v>33000</v>
      </c>
      <c r="D6" s="1">
        <v>15000</v>
      </c>
      <c r="E6" s="1">
        <v>-15000</v>
      </c>
      <c r="F6" s="1">
        <v>-6000</v>
      </c>
      <c r="G6" s="1">
        <v>-35000</v>
      </c>
      <c r="H6" s="1">
        <v>-58000</v>
      </c>
      <c r="I6" t="s">
        <v>11</v>
      </c>
      <c r="J6" s="1">
        <v>33000</v>
      </c>
    </row>
    <row r="7" spans="1:10">
      <c r="A7" s="1">
        <v>90000</v>
      </c>
      <c r="B7" s="1">
        <v>36000</v>
      </c>
      <c r="C7" s="1">
        <v>38000</v>
      </c>
      <c r="D7" s="1">
        <v>25000</v>
      </c>
      <c r="E7" s="1">
        <v>-5000</v>
      </c>
      <c r="F7" s="1">
        <v>4000</v>
      </c>
      <c r="G7" s="1">
        <v>-25000</v>
      </c>
      <c r="H7" s="1">
        <v>-48000</v>
      </c>
      <c r="I7" t="s">
        <v>11</v>
      </c>
      <c r="J7" s="1">
        <v>38000</v>
      </c>
    </row>
    <row r="8" spans="1:10">
      <c r="A8" s="1">
        <v>100000</v>
      </c>
      <c r="B8" s="1">
        <v>40000</v>
      </c>
      <c r="C8" s="1">
        <v>43000</v>
      </c>
      <c r="D8" s="1">
        <v>35000</v>
      </c>
      <c r="E8" s="1">
        <v>5000</v>
      </c>
      <c r="F8" s="1">
        <v>14000</v>
      </c>
      <c r="G8" s="1">
        <v>-15000</v>
      </c>
      <c r="H8" s="1">
        <v>-38000</v>
      </c>
      <c r="I8" t="s">
        <v>11</v>
      </c>
      <c r="J8" s="1">
        <v>43000</v>
      </c>
    </row>
    <row r="9" spans="1:10">
      <c r="A9" s="1">
        <v>110000</v>
      </c>
      <c r="B9" s="1">
        <v>44000</v>
      </c>
      <c r="C9" s="1">
        <v>48000</v>
      </c>
      <c r="D9" s="1">
        <v>45000</v>
      </c>
      <c r="E9" s="1">
        <v>15000</v>
      </c>
      <c r="F9" s="1">
        <v>24000</v>
      </c>
      <c r="G9" s="1">
        <v>-5000</v>
      </c>
      <c r="H9" s="1">
        <v>-28000</v>
      </c>
      <c r="I9" t="s">
        <v>11</v>
      </c>
      <c r="J9" s="1">
        <v>48000</v>
      </c>
    </row>
    <row r="10" spans="1:10">
      <c r="A10" s="1">
        <v>120000</v>
      </c>
      <c r="B10" s="1">
        <v>48000</v>
      </c>
      <c r="C10" s="1">
        <v>53000</v>
      </c>
      <c r="D10" s="1">
        <v>55000</v>
      </c>
      <c r="E10" s="1">
        <v>25000</v>
      </c>
      <c r="F10" s="1">
        <v>34000</v>
      </c>
      <c r="G10" s="1">
        <v>5000</v>
      </c>
      <c r="H10" s="1">
        <v>-18000</v>
      </c>
      <c r="I10" t="s">
        <v>12</v>
      </c>
      <c r="J10" s="1">
        <v>55000</v>
      </c>
    </row>
    <row r="11" spans="1:10">
      <c r="A11" s="1">
        <v>130000</v>
      </c>
      <c r="B11" s="1">
        <v>52000</v>
      </c>
      <c r="C11" s="1">
        <v>58000</v>
      </c>
      <c r="D11" s="1">
        <v>65000</v>
      </c>
      <c r="E11" s="1">
        <v>35000</v>
      </c>
      <c r="F11" s="1">
        <v>44000</v>
      </c>
      <c r="G11" s="1">
        <v>15000</v>
      </c>
      <c r="H11" s="1">
        <v>-8000</v>
      </c>
      <c r="I11" t="s">
        <v>12</v>
      </c>
      <c r="J11" s="1">
        <v>65000</v>
      </c>
    </row>
    <row r="12" spans="1:10">
      <c r="A12" s="1">
        <v>140000</v>
      </c>
      <c r="B12" s="1">
        <v>56000</v>
      </c>
      <c r="C12" s="1">
        <v>63000</v>
      </c>
      <c r="D12" s="1">
        <v>75000</v>
      </c>
      <c r="E12" s="1">
        <v>45000</v>
      </c>
      <c r="F12" s="1">
        <v>54000</v>
      </c>
      <c r="G12" s="1">
        <v>25000</v>
      </c>
      <c r="H12" s="1">
        <v>2000</v>
      </c>
      <c r="I12" t="s">
        <v>12</v>
      </c>
      <c r="J12" s="1">
        <v>75000</v>
      </c>
    </row>
    <row r="13" spans="1:10">
      <c r="A13" s="1">
        <v>150000</v>
      </c>
      <c r="B13" s="1">
        <v>60000</v>
      </c>
      <c r="C13" s="1">
        <v>68000</v>
      </c>
      <c r="D13" s="1">
        <v>85000</v>
      </c>
      <c r="E13" s="1">
        <v>55000</v>
      </c>
      <c r="F13" s="1">
        <v>64000</v>
      </c>
      <c r="G13" s="1">
        <v>35000</v>
      </c>
      <c r="H13" s="1">
        <v>12000</v>
      </c>
      <c r="I13" t="s">
        <v>12</v>
      </c>
      <c r="J13" s="1">
        <v>85000</v>
      </c>
    </row>
    <row r="14" spans="1:10">
      <c r="A14" s="1">
        <v>160000</v>
      </c>
      <c r="B14" s="1">
        <v>64000</v>
      </c>
      <c r="C14" s="1">
        <v>73000</v>
      </c>
      <c r="D14" s="1">
        <v>95000</v>
      </c>
      <c r="E14" s="1">
        <v>65000</v>
      </c>
      <c r="F14" s="1">
        <v>74000</v>
      </c>
      <c r="G14" s="1">
        <v>45000</v>
      </c>
      <c r="H14" s="1">
        <v>22000</v>
      </c>
      <c r="I14" t="s">
        <v>13</v>
      </c>
      <c r="J14" s="1">
        <v>65000</v>
      </c>
    </row>
    <row r="15" spans="1:10">
      <c r="A15" s="1">
        <v>170000</v>
      </c>
      <c r="B15" s="1">
        <v>68000</v>
      </c>
      <c r="C15" s="1">
        <v>78000</v>
      </c>
      <c r="D15" s="1">
        <v>105000</v>
      </c>
      <c r="E15" s="1">
        <v>75000</v>
      </c>
      <c r="F15" s="1">
        <v>84000</v>
      </c>
      <c r="G15" s="1">
        <v>55000</v>
      </c>
      <c r="H15" s="1">
        <v>32000</v>
      </c>
      <c r="I15" t="s">
        <v>13</v>
      </c>
      <c r="J15" s="1">
        <v>75000</v>
      </c>
    </row>
    <row r="16" spans="1:10">
      <c r="A16" s="1">
        <v>180000</v>
      </c>
      <c r="B16" s="1">
        <v>72000</v>
      </c>
      <c r="C16" s="1">
        <v>83000</v>
      </c>
      <c r="D16" s="1">
        <v>115000</v>
      </c>
      <c r="E16" s="1">
        <v>85000</v>
      </c>
      <c r="F16" s="1">
        <v>94000</v>
      </c>
      <c r="G16" s="1">
        <v>65000</v>
      </c>
      <c r="H16" s="1">
        <v>42000</v>
      </c>
      <c r="I16" t="s">
        <v>13</v>
      </c>
      <c r="J16" s="1">
        <v>85000</v>
      </c>
    </row>
    <row r="17" spans="1:10">
      <c r="A17" s="1">
        <v>190000</v>
      </c>
      <c r="B17" s="1">
        <v>76000</v>
      </c>
      <c r="C17" s="1">
        <v>88000</v>
      </c>
      <c r="D17" s="1">
        <v>125000</v>
      </c>
      <c r="E17" s="1">
        <v>95000</v>
      </c>
      <c r="F17" s="1">
        <v>104000</v>
      </c>
      <c r="G17" s="1">
        <v>75000</v>
      </c>
      <c r="H17" s="1">
        <v>52000</v>
      </c>
      <c r="I17" t="s">
        <v>13</v>
      </c>
      <c r="J17" s="1">
        <v>95000</v>
      </c>
    </row>
    <row r="18" spans="1:10">
      <c r="A18" s="1">
        <v>200000</v>
      </c>
      <c r="B18" s="1">
        <v>80000</v>
      </c>
      <c r="C18" s="1">
        <v>93000</v>
      </c>
      <c r="D18" s="1">
        <v>135000</v>
      </c>
      <c r="E18" s="1">
        <v>105000</v>
      </c>
      <c r="F18" s="1">
        <v>114000</v>
      </c>
      <c r="G18" s="1">
        <v>85000</v>
      </c>
      <c r="H18" s="1">
        <v>62000</v>
      </c>
      <c r="I18" t="s">
        <v>13</v>
      </c>
      <c r="J18" s="1">
        <v>105000</v>
      </c>
    </row>
    <row r="19" spans="1:10">
      <c r="A19" s="1">
        <v>210000</v>
      </c>
      <c r="B19" s="1">
        <v>84000</v>
      </c>
      <c r="C19" s="1">
        <v>98000</v>
      </c>
      <c r="D19" s="1">
        <v>145000</v>
      </c>
      <c r="E19" s="1">
        <v>115000</v>
      </c>
      <c r="F19" s="1">
        <v>124000</v>
      </c>
      <c r="G19" s="1">
        <v>95000</v>
      </c>
      <c r="H19" s="1">
        <v>72000</v>
      </c>
      <c r="I19" t="s">
        <v>13</v>
      </c>
      <c r="J19" s="1">
        <v>115000</v>
      </c>
    </row>
    <row r="20" spans="1:10">
      <c r="A20" s="1">
        <v>220000</v>
      </c>
      <c r="B20" s="1">
        <v>88000</v>
      </c>
      <c r="C20" s="1">
        <v>103000</v>
      </c>
      <c r="D20" s="1">
        <v>155000</v>
      </c>
      <c r="E20" s="1">
        <v>125000</v>
      </c>
      <c r="F20" s="1">
        <v>134000</v>
      </c>
      <c r="G20" s="1">
        <v>105000</v>
      </c>
      <c r="H20" s="1">
        <v>82000</v>
      </c>
      <c r="I20" t="s">
        <v>13</v>
      </c>
      <c r="J20" s="1">
        <v>125000</v>
      </c>
    </row>
    <row r="21" spans="1:10">
      <c r="A21" s="1">
        <v>230000</v>
      </c>
      <c r="B21" s="1">
        <v>92000</v>
      </c>
      <c r="C21" s="1">
        <v>108000</v>
      </c>
      <c r="D21" s="1">
        <v>165000</v>
      </c>
      <c r="E21" s="1">
        <v>135000</v>
      </c>
      <c r="F21" s="1">
        <v>144000</v>
      </c>
      <c r="G21" s="1">
        <v>115000</v>
      </c>
      <c r="H21" s="1">
        <v>92000</v>
      </c>
      <c r="I21" t="s">
        <v>13</v>
      </c>
      <c r="J21" s="1">
        <v>135000</v>
      </c>
    </row>
    <row r="22" spans="1:10">
      <c r="A22" s="1">
        <v>240000</v>
      </c>
      <c r="B22" s="1">
        <v>96000</v>
      </c>
      <c r="C22" s="1">
        <v>113000</v>
      </c>
      <c r="D22" s="1">
        <v>175000</v>
      </c>
      <c r="E22" s="1">
        <v>145000</v>
      </c>
      <c r="F22" s="1">
        <v>154000</v>
      </c>
      <c r="G22" s="1">
        <v>125000</v>
      </c>
      <c r="H22" s="1">
        <v>102000</v>
      </c>
      <c r="I22" t="s">
        <v>13</v>
      </c>
      <c r="J22" s="1">
        <v>145000</v>
      </c>
    </row>
    <row r="23" spans="1:10">
      <c r="A23" s="1">
        <v>250000</v>
      </c>
      <c r="B23" s="1">
        <v>100000</v>
      </c>
      <c r="C23" s="1">
        <v>118000</v>
      </c>
      <c r="D23" s="1">
        <v>185000</v>
      </c>
      <c r="E23" s="1">
        <v>155000</v>
      </c>
      <c r="F23" s="1">
        <v>164000</v>
      </c>
      <c r="G23" s="1">
        <v>135000</v>
      </c>
      <c r="H23" s="1">
        <v>112000</v>
      </c>
      <c r="I23" t="s">
        <v>13</v>
      </c>
      <c r="J23" s="1">
        <v>155000</v>
      </c>
    </row>
  </sheetData>
  <conditionalFormatting sqref="B2:H23">
    <cfRule type="dataBar" priority="1">
      <dataBar>
        <cfvo type="min" val="0"/>
        <cfvo type="max" val="0"/>
        <color rgb="FF638EC6"/>
      </dataBar>
    </cfRule>
    <cfRule type="cellIs" dxfId="0" priority="2" operator="lessThan">
      <formula>0</formula>
    </cfRule>
    <cfRule type="expression" dxfId="1" priority="3">
      <formula>AND($A2&lt;=150000, B2=MAX($B2:$H2))</formula>
    </cfRule>
  </conditionalFormatting>
  <conditionalFormatting sqref="E2:E23">
    <cfRule type="expression" dxfId="1" priority="4">
      <formula>AND($A2&gt;150000, E2=MAX($E2:$G2))</formula>
    </cfRule>
  </conditionalFormatting>
  <conditionalFormatting sqref="G2:G23">
    <cfRule type="expression" dxfId="1" priority="5">
      <formula>AND($A2&gt;150000, G2=MAX($E2:$G2))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cols>
    <col min="1" max="1" width="28.7109375" customWidth="1"/>
    <col min="2" max="2" width="18.7109375" style="1" customWidth="1"/>
  </cols>
  <sheetData>
    <row r="1" spans="1:4">
      <c r="A1" t="s">
        <v>14</v>
      </c>
    </row>
    <row r="3" spans="1:4">
      <c r="A3" t="s">
        <v>15</v>
      </c>
      <c r="B3" s="1">
        <v>150000</v>
      </c>
      <c r="D3">
        <v>40000</v>
      </c>
    </row>
    <row r="4" spans="1:4">
      <c r="D4">
        <v>50000</v>
      </c>
    </row>
    <row r="5" spans="1:4">
      <c r="D5">
        <v>60000</v>
      </c>
    </row>
    <row r="6" spans="1:4">
      <c r="A6" s="2" t="s">
        <v>16</v>
      </c>
      <c r="B6" s="2" t="s">
        <v>17</v>
      </c>
      <c r="D6">
        <v>70000</v>
      </c>
    </row>
    <row r="7" spans="1:4">
      <c r="A7" t="s">
        <v>10</v>
      </c>
      <c r="B7" s="1">
        <f>0.40*B3</f>
        <v>0</v>
      </c>
      <c r="D7">
        <v>80000</v>
      </c>
    </row>
    <row r="8" spans="1:4">
      <c r="A8" t="s">
        <v>11</v>
      </c>
      <c r="B8" s="1">
        <f>0.50*(B3-14000)</f>
        <v>0</v>
      </c>
      <c r="D8">
        <v>90000</v>
      </c>
    </row>
    <row r="9" spans="1:4">
      <c r="A9" t="s">
        <v>12</v>
      </c>
      <c r="B9" s="1">
        <f>B3-65000</f>
        <v>0</v>
      </c>
      <c r="D9">
        <v>100000</v>
      </c>
    </row>
    <row r="10" spans="1:4">
      <c r="A10" t="s">
        <v>13</v>
      </c>
      <c r="B10" s="1">
        <f>B3-95000</f>
        <v>0</v>
      </c>
      <c r="D10">
        <v>110000</v>
      </c>
    </row>
    <row r="11" spans="1:4">
      <c r="A11" t="s">
        <v>18</v>
      </c>
      <c r="B11" s="1">
        <f>B3-86000</f>
        <v>0</v>
      </c>
      <c r="D11">
        <v>120000</v>
      </c>
    </row>
    <row r="12" spans="1:4">
      <c r="A12" t="s">
        <v>19</v>
      </c>
      <c r="B12" s="1">
        <f>B3-115000</f>
        <v>0</v>
      </c>
      <c r="D12">
        <v>130000</v>
      </c>
    </row>
    <row r="13" spans="1:4">
      <c r="A13" t="s">
        <v>20</v>
      </c>
      <c r="B13" s="1">
        <f>B3-138000</f>
        <v>0</v>
      </c>
      <c r="D13">
        <v>140000</v>
      </c>
    </row>
    <row r="14" spans="1:4">
      <c r="D14">
        <v>150000</v>
      </c>
    </row>
    <row r="15" spans="1:4">
      <c r="D15">
        <v>160000</v>
      </c>
    </row>
    <row r="16" spans="1:4">
      <c r="A16" t="s">
        <v>21</v>
      </c>
      <c r="B16" s="1">
        <f>IF(B3&gt;150000, MAX(B10, B12), MAX(B7:B13))</f>
        <v>0</v>
      </c>
      <c r="D16">
        <v>170000</v>
      </c>
    </row>
    <row r="17" spans="1:4">
      <c r="A17" t="s">
        <v>22</v>
      </c>
      <c r="B17" s="1">
        <f>IF(B3&gt;150000,
                IF(B10&gt;=B12, A10, A12),
                INDEX(A7:A13, MATCH(MAX(B7:B13), B7:B13, 0))
           )</f>
        <v>0</v>
      </c>
      <c r="D17">
        <v>180000</v>
      </c>
    </row>
    <row r="18" spans="1:4">
      <c r="D18">
        <v>190000</v>
      </c>
    </row>
    <row r="19" spans="1:4">
      <c r="D19">
        <v>200000</v>
      </c>
    </row>
    <row r="20" spans="1:4">
      <c r="D20">
        <v>210000</v>
      </c>
    </row>
    <row r="21" spans="1:4">
      <c r="D21">
        <v>220000</v>
      </c>
    </row>
    <row r="22" spans="1:4">
      <c r="D22">
        <v>230000</v>
      </c>
    </row>
    <row r="23" spans="1:4">
      <c r="D23">
        <v>240000</v>
      </c>
    </row>
    <row r="24" spans="1:4">
      <c r="D24">
        <v>250000</v>
      </c>
    </row>
  </sheetData>
  <conditionalFormatting sqref="B7:B13">
    <cfRule type="dataBar" priority="1">
      <dataBar>
        <cfvo type="min" val="0"/>
        <cfvo type="max" val="0"/>
        <color rgb="FF638EC6"/>
      </dataBar>
    </cfRule>
    <cfRule type="cellIs" dxfId="0" priority="2" operator="lessThan">
      <formula>0</formula>
    </cfRule>
  </conditionalFormatting>
  <dataValidations count="1">
    <dataValidation type="list" allowBlank="1" showInputMessage="1" showErrorMessage="1" sqref="B3">
      <formula1>$D$3:$D$24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t="s">
        <v>23</v>
      </c>
    </row>
    <row r="3" spans="1:1">
      <c r="A3" t="s">
        <v>24</v>
      </c>
    </row>
    <row r="4" spans="1:1">
      <c r="A4" t="s">
        <v>25</v>
      </c>
    </row>
    <row r="6" spans="1:1">
      <c r="A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</vt:lpstr>
      <vt:lpstr>Dashboard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2025-10-23T05:18:11Z</dcterms:created>
  <dcterms:modified xsi:type="dcterms:W3CDTF">2025-10-23T05:18:11Z</dcterms:modified>
</cp:coreProperties>
</file>